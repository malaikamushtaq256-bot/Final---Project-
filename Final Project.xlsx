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 Information" sheetId="1" r:id="rId5"/>
    <sheet state="visible" name="Appointments" sheetId="2" r:id="rId6"/>
    <sheet state="visible" name="Billing" sheetId="3" r:id="rId7"/>
    <sheet state="visible" name="Doctor Wise Performance" sheetId="4" r:id="rId8"/>
  </sheets>
  <definedNames/>
  <calcPr/>
</workbook>
</file>

<file path=xl/sharedStrings.xml><?xml version="1.0" encoding="utf-8"?>
<sst xmlns="http://schemas.openxmlformats.org/spreadsheetml/2006/main" count="161" uniqueCount="107">
  <si>
    <t>Doctors InformaƟon</t>
  </si>
  <si>
    <t>Doctor ID</t>
  </si>
  <si>
    <t>Doctor Name</t>
  </si>
  <si>
    <t>Department</t>
  </si>
  <si>
    <t>Consultation Fee</t>
  </si>
  <si>
    <t>D001</t>
  </si>
  <si>
    <t>Dr. Ahmed Khan</t>
  </si>
  <si>
    <t>Cardiology</t>
  </si>
  <si>
    <t>D002</t>
  </si>
  <si>
    <t>Dr. Fatima Iqbal</t>
  </si>
  <si>
    <t>Orthopedics</t>
  </si>
  <si>
    <t>D003</t>
  </si>
  <si>
    <t>Dr. Ali Raza</t>
  </si>
  <si>
    <t>ENT</t>
  </si>
  <si>
    <t>D004</t>
  </si>
  <si>
    <t>Dr. Sana Malik</t>
  </si>
  <si>
    <t>Dermatology</t>
  </si>
  <si>
    <t>D005</t>
  </si>
  <si>
    <t>Dr. Usman Shah</t>
  </si>
  <si>
    <t>Neurology</t>
  </si>
  <si>
    <t>D006</t>
  </si>
  <si>
    <t>Dr. Ayesha Siddiq</t>
  </si>
  <si>
    <t>Pediatrics</t>
  </si>
  <si>
    <t>D007</t>
  </si>
  <si>
    <t>Dr. Hassan Tariq</t>
  </si>
  <si>
    <t>General Surgery</t>
  </si>
  <si>
    <t>D008</t>
  </si>
  <si>
    <t>Dr. Maria Qureshi</t>
  </si>
  <si>
    <t>Gynecology</t>
  </si>
  <si>
    <t>D009</t>
  </si>
  <si>
    <t>Dr. Imran Aslam</t>
  </si>
  <si>
    <t>D010</t>
  </si>
  <si>
    <t>Dr. Hina Javed</t>
  </si>
  <si>
    <t>D011</t>
  </si>
  <si>
    <t>Dr. Bilal Farooq</t>
  </si>
  <si>
    <t>D012</t>
  </si>
  <si>
    <t>Dr. Samina Riaz</t>
  </si>
  <si>
    <t>D013</t>
  </si>
  <si>
    <t>Dr. Zain Ahmed</t>
  </si>
  <si>
    <t>D014</t>
  </si>
  <si>
    <t>Dr. Nadia Hussain</t>
  </si>
  <si>
    <t>D015</t>
  </si>
  <si>
    <t>Dr. Saad Iqbal</t>
  </si>
  <si>
    <t>D016</t>
  </si>
  <si>
    <t>Dr. Rabia Khan</t>
  </si>
  <si>
    <t>D017</t>
  </si>
  <si>
    <t>Dr. Waseem Akhtar</t>
  </si>
  <si>
    <t>D018</t>
  </si>
  <si>
    <t>Dr. Kiran Malik</t>
  </si>
  <si>
    <t>D019</t>
  </si>
  <si>
    <t>Dr. Asad Rafiq</t>
  </si>
  <si>
    <t>D020</t>
  </si>
  <si>
    <t>Dr. Saba Tariq</t>
  </si>
  <si>
    <t>Appointment ID</t>
  </si>
  <si>
    <t>Patient Name</t>
  </si>
  <si>
    <t>Appointment Date</t>
  </si>
  <si>
    <t>Appointment Time</t>
  </si>
  <si>
    <t>Arrival Time</t>
  </si>
  <si>
    <t>Delay (mins)</t>
  </si>
  <si>
    <t>Status</t>
  </si>
  <si>
    <t>A001</t>
  </si>
  <si>
    <t>Ali Khan</t>
  </si>
  <si>
    <t>A002</t>
  </si>
  <si>
    <t>Sara Ahmed</t>
  </si>
  <si>
    <t>A003</t>
  </si>
  <si>
    <t>Omar Farooq</t>
  </si>
  <si>
    <t>A004</t>
  </si>
  <si>
    <t>Hina Riaz</t>
  </si>
  <si>
    <t>A005</t>
  </si>
  <si>
    <t>Ahmed Siddiq</t>
  </si>
  <si>
    <t>A006</t>
  </si>
  <si>
    <t>Maria Khalid</t>
  </si>
  <si>
    <t>A007</t>
  </si>
  <si>
    <t>Saad Iqbal</t>
  </si>
  <si>
    <t>A008</t>
  </si>
  <si>
    <t>Rabia Khan</t>
  </si>
  <si>
    <t>A009</t>
  </si>
  <si>
    <t>Imran Aslam</t>
  </si>
  <si>
    <t>A010</t>
  </si>
  <si>
    <t>Nadia Hussain</t>
  </si>
  <si>
    <t>A011</t>
  </si>
  <si>
    <t>Bilal Farooq</t>
  </si>
  <si>
    <t>A012</t>
  </si>
  <si>
    <t>Samina Riaz</t>
  </si>
  <si>
    <t>A013</t>
  </si>
  <si>
    <t>Zain Ahmed</t>
  </si>
  <si>
    <t>A014</t>
  </si>
  <si>
    <t>Samra Nadeem</t>
  </si>
  <si>
    <t>A015</t>
  </si>
  <si>
    <t>Faisal Shah</t>
  </si>
  <si>
    <t>A016</t>
  </si>
  <si>
    <t>Lubna Qureshi</t>
  </si>
  <si>
    <t>A017</t>
  </si>
  <si>
    <t>Omar Rafiq</t>
  </si>
  <si>
    <t>A018</t>
  </si>
  <si>
    <t>Kiran Malik</t>
  </si>
  <si>
    <t>A019</t>
  </si>
  <si>
    <t>Tariq Hussain</t>
  </si>
  <si>
    <t>A020</t>
  </si>
  <si>
    <t>Sana Farooq</t>
  </si>
  <si>
    <t>Doctor Fee</t>
  </si>
  <si>
    <t>Total Bill</t>
  </si>
  <si>
    <t>Date</t>
  </si>
  <si>
    <t>Total Patient</t>
  </si>
  <si>
    <t>Revenue</t>
  </si>
  <si>
    <t>Total Patients</t>
  </si>
  <si>
    <t>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</si>
</sst>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:mm:ss am/pm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20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46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46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readingOrder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</dxfs>
  <tableStyles count="5">
    <tableStyle count="4" pivot="0" name="Doctor Inform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ointmen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Billing-style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Billing-style 2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Doctor Wise Performance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  <a:r>
              <a:rPr b="1">
                <a:solidFill>
                  <a:srgbClr val="000000"/>
                </a:solidFill>
                <a:latin typeface="serif"/>
              </a:rPr>
              <a:t> Revenue Per Doctor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'Doctor Wise Performance'!$D$4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'Doctor Wise Performance'!$B$5:$B$24</c:f>
            </c:strRef>
          </c:cat>
          <c:val>
            <c:numRef>
              <c:f>'Doctor Wise Performance'!$D$5:$D$24</c:f>
              <c:numCache/>
            </c:numRef>
          </c:val>
        </c:ser>
        <c:axId val="780373002"/>
        <c:axId val="1658055770"/>
      </c:bar3DChart>
      <c:catAx>
        <c:axId val="780373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Doctor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658055770"/>
      </c:catAx>
      <c:valAx>
        <c:axId val="1658055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780373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752475</xdr:colOff>
      <xdr:row>5</xdr:row>
      <xdr:rowOff>257175</xdr:rowOff>
    </xdr:from>
    <xdr:ext cx="5467350" cy="3381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5:F25" displayName="Doctor_Information" name="Doctor_Information" id="1">
  <tableColumns count="4">
    <tableColumn name="Doctor ID" id="1"/>
    <tableColumn name="Doctor Name" id="2"/>
    <tableColumn name="Department" id="3"/>
    <tableColumn name="Consultation Fee" id="4"/>
  </tableColumns>
  <tableStyleInfo name="Doctor Information-style" showColumnStripes="0" showFirstColumn="1" showLastColumn="1" showRowStripes="1"/>
</table>
</file>

<file path=xl/tables/table2.xml><?xml version="1.0" encoding="utf-8"?>
<table xmlns="http://schemas.openxmlformats.org/spreadsheetml/2006/main" ref="B5:I25" displayName="Appointments" name="Appointments" id="2">
  <tableColumns count="8">
    <tableColumn name="Appointment ID" id="1"/>
    <tableColumn name="Patient Name" id="2"/>
    <tableColumn name="Doctor ID" id="3"/>
    <tableColumn name="Appointment Date" id="4"/>
    <tableColumn name="Appointment Time" id="5"/>
    <tableColumn name="Arrival Time" id="6"/>
    <tableColumn name="Delay (mins)" id="7"/>
    <tableColumn name="Status" id="8"/>
  </tableColumns>
  <tableStyleInfo name="Appointments-style" showColumnStripes="0" showFirstColumn="1" showLastColumn="1" showRowStripes="1"/>
</table>
</file>

<file path=xl/tables/table3.xml><?xml version="1.0" encoding="utf-8"?>
<table xmlns="http://schemas.openxmlformats.org/spreadsheetml/2006/main" ref="B3:G20" displayName="Billing" name="Billing" id="3">
  <tableColumns count="6">
    <tableColumn name="Appointment ID" id="1"/>
    <tableColumn name="Appointment Date" id="2"/>
    <tableColumn name="Patient Name" id="3"/>
    <tableColumn name="Doctor ID" id="4"/>
    <tableColumn name="Doctor Fee" id="5"/>
    <tableColumn name="Total Bill" id="6"/>
  </tableColumns>
  <tableStyleInfo name="Billing-style" showColumnStripes="0" showFirstColumn="1" showLastColumn="1" showRowStripes="1"/>
</table>
</file>

<file path=xl/tables/table4.xml><?xml version="1.0" encoding="utf-8"?>
<table xmlns="http://schemas.openxmlformats.org/spreadsheetml/2006/main" ref="J12:L13" displayName="Daily_Rev_Summary" name="Daily_Rev_Summary" id="4">
  <tableColumns count="3">
    <tableColumn name="Date" id="1"/>
    <tableColumn name="Total Patient" id="2"/>
    <tableColumn name="Revenue" id="3"/>
  </tableColumns>
  <tableStyleInfo name="Billing-style 2" showColumnStripes="0" showFirstColumn="1" showLastColumn="1" showRowStripes="1"/>
</table>
</file>

<file path=xl/tables/table5.xml><?xml version="1.0" encoding="utf-8"?>
<table xmlns="http://schemas.openxmlformats.org/spreadsheetml/2006/main" ref="B4:D24" displayName="Doctor_Wise_Performance" name="Doctor_Wise_Performance" id="5">
  <tableColumns count="3">
    <tableColumn name="Doctor Name" id="1"/>
    <tableColumn name="Total Patients" id="2"/>
    <tableColumn name="Total Revenue" id="3"/>
  </tableColumns>
  <tableStyleInfo name="Doctor Wise Perform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16.38"/>
    <col customWidth="1" min="5" max="5" width="17.63"/>
    <col customWidth="1" min="6" max="6" width="21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2"/>
      <c r="B5" s="2"/>
      <c r="C5" s="3" t="s">
        <v>1</v>
      </c>
      <c r="D5" s="3" t="s">
        <v>2</v>
      </c>
      <c r="E5" s="3" t="s">
        <v>3</v>
      </c>
      <c r="F5" s="3" t="s">
        <v>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2"/>
      <c r="B6" s="2"/>
      <c r="C6" s="4" t="s">
        <v>5</v>
      </c>
      <c r="D6" s="5" t="s">
        <v>6</v>
      </c>
      <c r="E6" s="5" t="s">
        <v>7</v>
      </c>
      <c r="F6" s="6">
        <v>2500.0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2"/>
      <c r="B7" s="2"/>
      <c r="C7" s="4" t="s">
        <v>8</v>
      </c>
      <c r="D7" s="5" t="s">
        <v>9</v>
      </c>
      <c r="E7" s="5" t="s">
        <v>10</v>
      </c>
      <c r="F7" s="6">
        <v>1800.0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2"/>
      <c r="B8" s="2"/>
      <c r="C8" s="4" t="s">
        <v>11</v>
      </c>
      <c r="D8" s="5" t="s">
        <v>12</v>
      </c>
      <c r="E8" s="5" t="s">
        <v>13</v>
      </c>
      <c r="F8" s="6">
        <v>1500.0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2"/>
      <c r="B9" s="2"/>
      <c r="C9" s="4" t="s">
        <v>14</v>
      </c>
      <c r="D9" s="5" t="s">
        <v>15</v>
      </c>
      <c r="E9" s="5" t="s">
        <v>16</v>
      </c>
      <c r="F9" s="6">
        <v>2000.0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2"/>
      <c r="B10" s="2"/>
      <c r="C10" s="4" t="s">
        <v>17</v>
      </c>
      <c r="D10" s="5" t="s">
        <v>18</v>
      </c>
      <c r="E10" s="5" t="s">
        <v>19</v>
      </c>
      <c r="F10" s="6">
        <v>3000.0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2"/>
      <c r="B11" s="2"/>
      <c r="C11" s="4" t="s">
        <v>20</v>
      </c>
      <c r="D11" s="5" t="s">
        <v>21</v>
      </c>
      <c r="E11" s="5" t="s">
        <v>22</v>
      </c>
      <c r="F11" s="6">
        <v>1600.0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2"/>
      <c r="B12" s="2"/>
      <c r="C12" s="4" t="s">
        <v>23</v>
      </c>
      <c r="D12" s="5" t="s">
        <v>24</v>
      </c>
      <c r="E12" s="5" t="s">
        <v>25</v>
      </c>
      <c r="F12" s="6">
        <v>2200.0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2"/>
      <c r="B13" s="2"/>
      <c r="C13" s="4" t="s">
        <v>26</v>
      </c>
      <c r="D13" s="5" t="s">
        <v>27</v>
      </c>
      <c r="E13" s="5" t="s">
        <v>28</v>
      </c>
      <c r="F13" s="6">
        <v>2100.0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2"/>
      <c r="B14" s="2"/>
      <c r="C14" s="4" t="s">
        <v>29</v>
      </c>
      <c r="D14" s="5" t="s">
        <v>30</v>
      </c>
      <c r="E14" s="5" t="s">
        <v>7</v>
      </c>
      <c r="F14" s="6">
        <v>2500.0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2"/>
      <c r="B15" s="2"/>
      <c r="C15" s="4" t="s">
        <v>31</v>
      </c>
      <c r="D15" s="5" t="s">
        <v>32</v>
      </c>
      <c r="E15" s="5" t="s">
        <v>10</v>
      </c>
      <c r="F15" s="6">
        <v>1800.0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2"/>
      <c r="B16" s="2"/>
      <c r="C16" s="4" t="s">
        <v>33</v>
      </c>
      <c r="D16" s="5" t="s">
        <v>34</v>
      </c>
      <c r="E16" s="5" t="s">
        <v>13</v>
      </c>
      <c r="F16" s="6">
        <v>1500.0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2"/>
      <c r="B17" s="2"/>
      <c r="C17" s="4" t="s">
        <v>35</v>
      </c>
      <c r="D17" s="5" t="s">
        <v>36</v>
      </c>
      <c r="E17" s="5" t="s">
        <v>16</v>
      </c>
      <c r="F17" s="6">
        <v>2000.0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2"/>
      <c r="B18" s="2"/>
      <c r="C18" s="4" t="s">
        <v>37</v>
      </c>
      <c r="D18" s="5" t="s">
        <v>38</v>
      </c>
      <c r="E18" s="5" t="s">
        <v>19</v>
      </c>
      <c r="F18" s="6">
        <v>3000.0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2"/>
      <c r="B19" s="2"/>
      <c r="C19" s="4" t="s">
        <v>39</v>
      </c>
      <c r="D19" s="5" t="s">
        <v>40</v>
      </c>
      <c r="E19" s="5" t="s">
        <v>22</v>
      </c>
      <c r="F19" s="6">
        <v>1600.0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2"/>
      <c r="B20" s="2"/>
      <c r="C20" s="4" t="s">
        <v>41</v>
      </c>
      <c r="D20" s="5" t="s">
        <v>42</v>
      </c>
      <c r="E20" s="5" t="s">
        <v>25</v>
      </c>
      <c r="F20" s="6">
        <v>2200.0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2"/>
      <c r="B21" s="2"/>
      <c r="C21" s="4" t="s">
        <v>43</v>
      </c>
      <c r="D21" s="5" t="s">
        <v>44</v>
      </c>
      <c r="E21" s="5" t="s">
        <v>28</v>
      </c>
      <c r="F21" s="6">
        <v>2100.0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2"/>
      <c r="B22" s="2"/>
      <c r="C22" s="4" t="s">
        <v>45</v>
      </c>
      <c r="D22" s="5" t="s">
        <v>46</v>
      </c>
      <c r="E22" s="5" t="s">
        <v>7</v>
      </c>
      <c r="F22" s="6">
        <v>2500.0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2"/>
      <c r="B23" s="2"/>
      <c r="C23" s="4" t="s">
        <v>47</v>
      </c>
      <c r="D23" s="5" t="s">
        <v>48</v>
      </c>
      <c r="E23" s="5" t="s">
        <v>10</v>
      </c>
      <c r="F23" s="6">
        <v>1800.0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2"/>
      <c r="B24" s="2"/>
      <c r="C24" s="4" t="s">
        <v>49</v>
      </c>
      <c r="D24" s="5" t="s">
        <v>50</v>
      </c>
      <c r="E24" s="5" t="s">
        <v>13</v>
      </c>
      <c r="F24" s="6">
        <v>1500.0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2"/>
      <c r="B25" s="2"/>
      <c r="C25" s="4" t="s">
        <v>51</v>
      </c>
      <c r="D25" s="5" t="s">
        <v>52</v>
      </c>
      <c r="E25" s="5" t="s">
        <v>16</v>
      </c>
      <c r="F25" s="6">
        <v>2000.0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1"/>
      <c r="D26" s="1"/>
      <c r="E26" s="2"/>
      <c r="F26" s="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1"/>
      <c r="D27" s="1"/>
      <c r="E27" s="2"/>
      <c r="F27" s="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1"/>
      <c r="D28" s="1"/>
      <c r="E28" s="2"/>
      <c r="F28" s="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1"/>
      <c r="D29" s="1"/>
      <c r="E29" s="2"/>
      <c r="F29" s="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1"/>
      <c r="D30" s="1"/>
      <c r="E30" s="2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1"/>
      <c r="D31" s="1"/>
      <c r="E31" s="2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1"/>
      <c r="D32" s="1"/>
      <c r="E32" s="2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1"/>
      <c r="D33" s="1"/>
      <c r="E33" s="2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1"/>
      <c r="D34" s="1"/>
      <c r="E34" s="2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1"/>
      <c r="D35" s="1"/>
      <c r="E35" s="2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C6:C25">
      <formula1>"D001,D002,D003,D004,D005,D006,D007,D008,D009,D010,D011,D012,D013,D014,D015,D016,D017,D018,D019,D020"</formula1>
    </dataValidation>
    <dataValidation type="custom" allowBlank="1" showDropDown="1" sqref="F6:F25">
      <formula1>AND(ISNUMBER(F6),(NOT(OR(NOT(ISERROR(DATEVALUE(F6))), AND(ISNUMBER(F6), LEFT(CELL("format", F6))="D")))))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5.63"/>
    <col customWidth="1" min="4" max="4" width="15.75"/>
    <col customWidth="1" min="5" max="5" width="22.25"/>
    <col customWidth="1" min="6" max="6" width="22.63"/>
    <col customWidth="1" min="7" max="7" width="17.88"/>
    <col customWidth="1" min="8" max="8" width="18.13"/>
    <col customWidth="1" min="9" max="9" width="12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2"/>
      <c r="B5" s="3" t="s">
        <v>53</v>
      </c>
      <c r="C5" s="3" t="s">
        <v>54</v>
      </c>
      <c r="D5" s="3" t="s">
        <v>1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2"/>
      <c r="K5" s="8"/>
      <c r="L5" s="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2"/>
      <c r="B6" s="4" t="s">
        <v>60</v>
      </c>
      <c r="C6" s="5" t="s">
        <v>61</v>
      </c>
      <c r="D6" s="4" t="s">
        <v>5</v>
      </c>
      <c r="E6" s="9">
        <v>46054.0</v>
      </c>
      <c r="F6" s="10">
        <v>0.375</v>
      </c>
      <c r="G6" s="11">
        <v>0.3784722222222222</v>
      </c>
      <c r="H6" s="12">
        <f t="shared" ref="H6:H25" si="1">IF(G6="","", F6-G6)</f>
        <v>-0.003472222222</v>
      </c>
      <c r="I6" s="5" t="str">
        <f t="shared" ref="I6:I25" si="2">IF(G6="", "Missed", IF(F6&lt;G6,"Late", "On Time"))</f>
        <v>Late</v>
      </c>
      <c r="J6" s="2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2"/>
      <c r="B7" s="4" t="s">
        <v>62</v>
      </c>
      <c r="C7" s="5" t="s">
        <v>63</v>
      </c>
      <c r="D7" s="4" t="s">
        <v>8</v>
      </c>
      <c r="E7" s="9">
        <v>46054.0</v>
      </c>
      <c r="F7" s="10">
        <v>0.4166666666666667</v>
      </c>
      <c r="G7" s="11">
        <v>0.4131944444444444</v>
      </c>
      <c r="H7" s="12">
        <f t="shared" si="1"/>
        <v>0.003472222222</v>
      </c>
      <c r="I7" s="5" t="str">
        <f t="shared" si="2"/>
        <v>On Time</v>
      </c>
      <c r="J7" s="2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2"/>
      <c r="B8" s="4" t="s">
        <v>64</v>
      </c>
      <c r="C8" s="5" t="s">
        <v>65</v>
      </c>
      <c r="D8" s="4" t="s">
        <v>11</v>
      </c>
      <c r="E8" s="9">
        <v>46055.0</v>
      </c>
      <c r="F8" s="10">
        <v>0.4583333333333333</v>
      </c>
      <c r="G8" s="11">
        <v>0.4652777777777778</v>
      </c>
      <c r="H8" s="12">
        <f t="shared" si="1"/>
        <v>-0.006944444444</v>
      </c>
      <c r="I8" s="5" t="str">
        <f t="shared" si="2"/>
        <v>Late</v>
      </c>
      <c r="J8" s="2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2"/>
      <c r="B9" s="4" t="s">
        <v>66</v>
      </c>
      <c r="C9" s="5" t="s">
        <v>67</v>
      </c>
      <c r="D9" s="4" t="s">
        <v>14</v>
      </c>
      <c r="E9" s="9">
        <v>46055.0</v>
      </c>
      <c r="F9" s="10">
        <v>0.3958333333333333</v>
      </c>
      <c r="G9" s="11">
        <v>0.3958333333333333</v>
      </c>
      <c r="H9" s="12">
        <f t="shared" si="1"/>
        <v>0</v>
      </c>
      <c r="I9" s="5" t="str">
        <f t="shared" si="2"/>
        <v>On Time</v>
      </c>
      <c r="J9" s="2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2"/>
      <c r="B10" s="4" t="s">
        <v>68</v>
      </c>
      <c r="C10" s="5" t="s">
        <v>69</v>
      </c>
      <c r="D10" s="4" t="s">
        <v>17</v>
      </c>
      <c r="E10" s="9">
        <v>46056.0</v>
      </c>
      <c r="F10" s="10">
        <v>0.5833333333333334</v>
      </c>
      <c r="G10" s="11">
        <v>0.6041666666666666</v>
      </c>
      <c r="H10" s="12">
        <f t="shared" si="1"/>
        <v>-0.02083333333</v>
      </c>
      <c r="I10" s="5" t="str">
        <f t="shared" si="2"/>
        <v>Late</v>
      </c>
      <c r="J10" s="2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2"/>
      <c r="B11" s="4" t="s">
        <v>70</v>
      </c>
      <c r="C11" s="5" t="s">
        <v>71</v>
      </c>
      <c r="D11" s="4" t="s">
        <v>20</v>
      </c>
      <c r="E11" s="9">
        <v>46056.0</v>
      </c>
      <c r="F11" s="10">
        <v>0.625</v>
      </c>
      <c r="G11" s="11">
        <v>0.6215277777777778</v>
      </c>
      <c r="H11" s="12">
        <f t="shared" si="1"/>
        <v>0.003472222222</v>
      </c>
      <c r="I11" s="5" t="str">
        <f t="shared" si="2"/>
        <v>On Time</v>
      </c>
      <c r="J11" s="2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2"/>
      <c r="B12" s="4" t="s">
        <v>72</v>
      </c>
      <c r="C12" s="5" t="s">
        <v>73</v>
      </c>
      <c r="D12" s="4" t="s">
        <v>23</v>
      </c>
      <c r="E12" s="9">
        <v>46057.0</v>
      </c>
      <c r="F12" s="10">
        <v>0.4375</v>
      </c>
      <c r="G12" s="13"/>
      <c r="H12" s="12" t="str">
        <f t="shared" si="1"/>
        <v/>
      </c>
      <c r="I12" s="5" t="str">
        <f t="shared" si="2"/>
        <v>Missed</v>
      </c>
      <c r="J12" s="2"/>
      <c r="K12" s="2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2"/>
      <c r="B13" s="4" t="s">
        <v>74</v>
      </c>
      <c r="C13" s="5" t="s">
        <v>75</v>
      </c>
      <c r="D13" s="4" t="s">
        <v>26</v>
      </c>
      <c r="E13" s="9">
        <v>46057.0</v>
      </c>
      <c r="F13" s="10">
        <v>0.5416666666666666</v>
      </c>
      <c r="G13" s="11">
        <v>0.5451388888888888</v>
      </c>
      <c r="H13" s="12">
        <f t="shared" si="1"/>
        <v>-0.003472222222</v>
      </c>
      <c r="I13" s="5" t="str">
        <f t="shared" si="2"/>
        <v>Late</v>
      </c>
      <c r="J13" s="2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2"/>
      <c r="B14" s="4" t="s">
        <v>76</v>
      </c>
      <c r="C14" s="5" t="s">
        <v>77</v>
      </c>
      <c r="D14" s="4" t="s">
        <v>29</v>
      </c>
      <c r="E14" s="9">
        <v>46058.0</v>
      </c>
      <c r="F14" s="10">
        <v>0.375</v>
      </c>
      <c r="G14" s="11">
        <v>0.3680555555555556</v>
      </c>
      <c r="H14" s="12">
        <f t="shared" si="1"/>
        <v>0.006944444444</v>
      </c>
      <c r="I14" s="5" t="str">
        <f t="shared" si="2"/>
        <v>On Time</v>
      </c>
      <c r="J14" s="2"/>
      <c r="K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2"/>
      <c r="B15" s="4" t="s">
        <v>78</v>
      </c>
      <c r="C15" s="5" t="s">
        <v>79</v>
      </c>
      <c r="D15" s="4" t="s">
        <v>31</v>
      </c>
      <c r="E15" s="9">
        <v>46058.0</v>
      </c>
      <c r="F15" s="10">
        <v>0.4166666666666667</v>
      </c>
      <c r="G15" s="11">
        <v>0.4236111111111111</v>
      </c>
      <c r="H15" s="12">
        <f t="shared" si="1"/>
        <v>-0.006944444444</v>
      </c>
      <c r="I15" s="5" t="str">
        <f t="shared" si="2"/>
        <v>Late</v>
      </c>
      <c r="J15" s="2"/>
      <c r="K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2"/>
      <c r="B16" s="4" t="s">
        <v>80</v>
      </c>
      <c r="C16" s="5" t="s">
        <v>81</v>
      </c>
      <c r="D16" s="4" t="s">
        <v>33</v>
      </c>
      <c r="E16" s="9">
        <v>46059.0</v>
      </c>
      <c r="F16" s="10">
        <v>0.3958333333333333</v>
      </c>
      <c r="G16" s="11">
        <v>0.3958333333333333</v>
      </c>
      <c r="H16" s="12">
        <f t="shared" si="1"/>
        <v>0</v>
      </c>
      <c r="I16" s="5" t="str">
        <f t="shared" si="2"/>
        <v>On Time</v>
      </c>
      <c r="J16" s="2"/>
      <c r="K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2"/>
      <c r="B17" s="4" t="s">
        <v>82</v>
      </c>
      <c r="C17" s="5" t="s">
        <v>83</v>
      </c>
      <c r="D17" s="4" t="s">
        <v>35</v>
      </c>
      <c r="E17" s="9">
        <v>46059.0</v>
      </c>
      <c r="F17" s="10">
        <v>0.4583333333333333</v>
      </c>
      <c r="G17" s="13"/>
      <c r="H17" s="12" t="str">
        <f t="shared" si="1"/>
        <v/>
      </c>
      <c r="I17" s="5" t="str">
        <f t="shared" si="2"/>
        <v>Missed</v>
      </c>
      <c r="J17" s="2"/>
      <c r="K17" s="2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2"/>
      <c r="B18" s="4" t="s">
        <v>84</v>
      </c>
      <c r="C18" s="5" t="s">
        <v>85</v>
      </c>
      <c r="D18" s="4" t="s">
        <v>37</v>
      </c>
      <c r="E18" s="9">
        <v>46060.0</v>
      </c>
      <c r="F18" s="10">
        <v>0.4166666666666667</v>
      </c>
      <c r="G18" s="11">
        <v>0.4201388888888889</v>
      </c>
      <c r="H18" s="12">
        <f t="shared" si="1"/>
        <v>-0.003472222222</v>
      </c>
      <c r="I18" s="5" t="str">
        <f t="shared" si="2"/>
        <v>Late</v>
      </c>
      <c r="J18" s="2"/>
      <c r="K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2"/>
      <c r="B19" s="4" t="s">
        <v>86</v>
      </c>
      <c r="C19" s="5" t="s">
        <v>87</v>
      </c>
      <c r="D19" s="4" t="s">
        <v>39</v>
      </c>
      <c r="E19" s="9">
        <v>46060.0</v>
      </c>
      <c r="F19" s="10">
        <v>0.3854166666666667</v>
      </c>
      <c r="G19" s="11">
        <v>0.3819444444444444</v>
      </c>
      <c r="H19" s="12">
        <f t="shared" si="1"/>
        <v>0.003472222222</v>
      </c>
      <c r="I19" s="5" t="str">
        <f t="shared" si="2"/>
        <v>On Time</v>
      </c>
      <c r="J19" s="2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2"/>
      <c r="B20" s="4" t="s">
        <v>88</v>
      </c>
      <c r="C20" s="5" t="s">
        <v>89</v>
      </c>
      <c r="D20" s="4" t="s">
        <v>41</v>
      </c>
      <c r="E20" s="9">
        <v>46061.0</v>
      </c>
      <c r="F20" s="10">
        <v>0.5833333333333334</v>
      </c>
      <c r="G20" s="11">
        <v>0.5972222222222222</v>
      </c>
      <c r="H20" s="12">
        <f t="shared" si="1"/>
        <v>-0.01388888889</v>
      </c>
      <c r="I20" s="5" t="str">
        <f t="shared" si="2"/>
        <v>Late</v>
      </c>
      <c r="J20" s="2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2"/>
      <c r="B21" s="4" t="s">
        <v>90</v>
      </c>
      <c r="C21" s="5" t="s">
        <v>91</v>
      </c>
      <c r="D21" s="4" t="s">
        <v>43</v>
      </c>
      <c r="E21" s="9">
        <v>46061.0</v>
      </c>
      <c r="F21" s="10">
        <v>0.5416666666666666</v>
      </c>
      <c r="G21" s="11">
        <v>0.5416666666666666</v>
      </c>
      <c r="H21" s="12">
        <f t="shared" si="1"/>
        <v>0</v>
      </c>
      <c r="I21" s="5" t="str">
        <f t="shared" si="2"/>
        <v>On Time</v>
      </c>
      <c r="J21" s="2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2"/>
      <c r="B22" s="4" t="s">
        <v>92</v>
      </c>
      <c r="C22" s="5" t="s">
        <v>93</v>
      </c>
      <c r="D22" s="4" t="s">
        <v>45</v>
      </c>
      <c r="E22" s="9">
        <v>46062.0</v>
      </c>
      <c r="F22" s="10">
        <v>0.40625</v>
      </c>
      <c r="G22" s="13"/>
      <c r="H22" s="12" t="str">
        <f t="shared" si="1"/>
        <v/>
      </c>
      <c r="I22" s="5" t="str">
        <f t="shared" si="2"/>
        <v>Missed</v>
      </c>
      <c r="J22" s="2"/>
      <c r="K22" s="2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2"/>
      <c r="B23" s="4" t="s">
        <v>94</v>
      </c>
      <c r="C23" s="5" t="s">
        <v>95</v>
      </c>
      <c r="D23" s="4" t="s">
        <v>47</v>
      </c>
      <c r="E23" s="9">
        <v>46062.0</v>
      </c>
      <c r="F23" s="10">
        <v>0.4375</v>
      </c>
      <c r="G23" s="11">
        <v>0.4409722222222222</v>
      </c>
      <c r="H23" s="12">
        <f t="shared" si="1"/>
        <v>-0.003472222222</v>
      </c>
      <c r="I23" s="5" t="str">
        <f t="shared" si="2"/>
        <v>Late</v>
      </c>
      <c r="J23" s="2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2"/>
      <c r="B24" s="4" t="s">
        <v>96</v>
      </c>
      <c r="C24" s="5" t="s">
        <v>97</v>
      </c>
      <c r="D24" s="4" t="s">
        <v>49</v>
      </c>
      <c r="E24" s="9">
        <v>46063.0</v>
      </c>
      <c r="F24" s="10">
        <v>0.4583333333333333</v>
      </c>
      <c r="G24" s="11">
        <v>0.4583333333333333</v>
      </c>
      <c r="H24" s="12">
        <f t="shared" si="1"/>
        <v>0</v>
      </c>
      <c r="I24" s="5" t="str">
        <f t="shared" si="2"/>
        <v>On Time</v>
      </c>
      <c r="J24" s="2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2"/>
      <c r="B25" s="4" t="s">
        <v>98</v>
      </c>
      <c r="C25" s="5" t="s">
        <v>99</v>
      </c>
      <c r="D25" s="4" t="s">
        <v>51</v>
      </c>
      <c r="E25" s="9">
        <v>46063.0</v>
      </c>
      <c r="F25" s="10">
        <v>0.375</v>
      </c>
      <c r="G25" s="11">
        <v>0.3784722222222222</v>
      </c>
      <c r="H25" s="12">
        <f t="shared" si="1"/>
        <v>-0.003472222222</v>
      </c>
      <c r="I25" s="5" t="str">
        <f t="shared" si="2"/>
        <v>Late</v>
      </c>
      <c r="J25" s="2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"/>
      <c r="C26" s="1"/>
      <c r="D26" s="1"/>
      <c r="E26" s="14"/>
      <c r="F26" s="15"/>
      <c r="G26" s="16"/>
      <c r="H26" s="17"/>
      <c r="I26" s="1"/>
      <c r="J26" s="2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"/>
      <c r="C27" s="1"/>
      <c r="D27" s="1"/>
      <c r="E27" s="14"/>
      <c r="F27" s="15"/>
      <c r="G27" s="16"/>
      <c r="H27" s="17"/>
      <c r="I27" s="1"/>
      <c r="J27" s="2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"/>
      <c r="C28" s="1"/>
      <c r="D28" s="1"/>
      <c r="E28" s="14"/>
      <c r="F28" s="15"/>
      <c r="G28" s="16"/>
      <c r="H28" s="17"/>
      <c r="I28" s="1"/>
      <c r="J28" s="2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"/>
      <c r="C29" s="1"/>
      <c r="D29" s="1"/>
      <c r="E29" s="14"/>
      <c r="F29" s="15"/>
      <c r="G29" s="16"/>
      <c r="H29" s="17"/>
      <c r="I29" s="1"/>
      <c r="J29" s="2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"/>
      <c r="C30" s="1"/>
      <c r="D30" s="1"/>
      <c r="E30" s="14"/>
      <c r="F30" s="15"/>
      <c r="G30" s="16"/>
      <c r="H30" s="17"/>
      <c r="I30" s="1"/>
      <c r="J30" s="2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"/>
      <c r="C31" s="1"/>
      <c r="D31" s="1"/>
      <c r="E31" s="14"/>
      <c r="F31" s="15"/>
      <c r="G31" s="18"/>
      <c r="H31" s="17"/>
      <c r="I31" s="1"/>
      <c r="J31" s="2"/>
      <c r="K31" s="2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"/>
      <c r="C32" s="1"/>
      <c r="D32" s="1"/>
      <c r="E32" s="14"/>
      <c r="F32" s="15"/>
      <c r="G32" s="16"/>
      <c r="H32" s="17"/>
      <c r="I32" s="1"/>
      <c r="J32" s="2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"/>
      <c r="C33" s="1"/>
      <c r="D33" s="1"/>
      <c r="E33" s="14"/>
      <c r="F33" s="15"/>
      <c r="G33" s="16"/>
      <c r="H33" s="17"/>
      <c r="I33" s="1"/>
      <c r="J33" s="2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"/>
      <c r="C34" s="1"/>
      <c r="D34" s="1"/>
      <c r="E34" s="14"/>
      <c r="F34" s="15"/>
      <c r="G34" s="16"/>
      <c r="H34" s="17"/>
      <c r="I34" s="1"/>
      <c r="J34" s="2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"/>
      <c r="C35" s="1"/>
      <c r="D35" s="1"/>
      <c r="E35" s="14"/>
      <c r="F35" s="15"/>
      <c r="G35" s="16"/>
      <c r="H35" s="17"/>
      <c r="I35" s="1"/>
      <c r="J35" s="2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I6:I35">
    <cfRule type="cellIs" dxfId="6" priority="1" operator="equal">
      <formula>"Late"</formula>
    </cfRule>
  </conditionalFormatting>
  <conditionalFormatting sqref="I6:I35">
    <cfRule type="cellIs" dxfId="7" priority="2" operator="equal">
      <formula>"on time"</formula>
    </cfRule>
  </conditionalFormatting>
  <conditionalFormatting sqref="I6:I35">
    <cfRule type="cellIs" dxfId="8" priority="3" operator="equal">
      <formula>"Missed"</formula>
    </cfRule>
  </conditionalFormatting>
  <dataValidations>
    <dataValidation type="list" allowBlank="1" showErrorMessage="1" sqref="D6:D25">
      <formula1>"D001,D002,D003,D004,D005,D006,D007,D008,D009,D010,D011,D012,D013,D014,D015,D016,D017,D018,D019,D020"</formula1>
    </dataValidation>
    <dataValidation type="custom" allowBlank="1" showDropDown="1" sqref="F6:H25">
      <formula1>OR(TIMEVALUE(TEXT(F6, "hh:mm:ss"))=F6, AND(ISNUMBER(F6), LEFT(CELL("format", F6))="D"))</formula1>
    </dataValidation>
    <dataValidation type="custom" allowBlank="1" showDropDown="1" sqref="E6:E25">
      <formula1>OR(NOT(ISERROR(DATEVALUE(E6))), AND(ISNUMBER(E6), LEFT(CELL("format", E6))="D"))</formula1>
    </dataValidation>
    <dataValidation type="list" allowBlank="1" showErrorMessage="1" sqref="B6:B25">
      <formula1>"A001,A002,A003,A004,A005,A006,A007,A008,A009,A010,A011,A012,A013,A014,A015,A016,A017,A018,A019,A020"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2.25"/>
    <col customWidth="1" min="4" max="4" width="15.63"/>
    <col customWidth="1" min="5" max="5" width="15.75"/>
    <col customWidth="1" min="6" max="6" width="16.88"/>
    <col customWidth="1" min="9" max="9" width="11.38"/>
    <col customWidth="1" min="10" max="10" width="17.25"/>
    <col customWidth="1" min="11" max="11" width="18.88"/>
    <col customWidth="1" min="12" max="12" width="16.2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2"/>
      <c r="B3" s="3" t="s">
        <v>53</v>
      </c>
      <c r="C3" s="3" t="s">
        <v>55</v>
      </c>
      <c r="D3" s="3" t="s">
        <v>54</v>
      </c>
      <c r="E3" s="3" t="s">
        <v>1</v>
      </c>
      <c r="F3" s="3" t="s">
        <v>100</v>
      </c>
      <c r="G3" s="3" t="s">
        <v>101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2"/>
      <c r="B4" s="5" t="str">
        <f>LOOKUP(B3,Appointments!B6)</f>
        <v>A001</v>
      </c>
      <c r="C4" s="19">
        <f>LOOKUP(C3,Appointments!B6,Appointments!E6:E35)</f>
        <v>46054</v>
      </c>
      <c r="D4" s="5" t="str">
        <f>LOOKUP(D3,Appointments!B6,Appointments!C6:C35)</f>
        <v>Ali Khan</v>
      </c>
      <c r="E4" s="5" t="str">
        <f>LOOKUP(E3,Appointments!B6,'Doctor Information'!C6:C25)</f>
        <v>D001</v>
      </c>
      <c r="F4" s="20">
        <f>LOOKUP(F3,'Doctor Information'!C6,'Doctor Information'!F6)</f>
        <v>2500</v>
      </c>
      <c r="G4" s="20">
        <f>SUM(G3,F4)</f>
        <v>2500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2"/>
      <c r="B5" s="5" t="s">
        <v>62</v>
      </c>
      <c r="C5" s="19">
        <f>LOOKUP(C3,Appointments!B7,Appointments!E7:E36)</f>
        <v>46054</v>
      </c>
      <c r="D5" s="5" t="str">
        <f>LOOKUP(D4,Appointments!B7,Appointments!C7:C36)</f>
        <v>Sara Ahmed</v>
      </c>
      <c r="E5" s="5" t="str">
        <f>LOOKUP(E4,Appointments!B7,'Doctor Information'!C7:C26)</f>
        <v>D002</v>
      </c>
      <c r="F5" s="20">
        <f> LOOKUP(F3,'Doctor Information'!C7,'Doctor Information'!F7:F25)</f>
        <v>1800</v>
      </c>
      <c r="G5" s="20">
        <f>SUM(G3,F5)</f>
        <v>1800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2"/>
      <c r="B6" s="5" t="s">
        <v>64</v>
      </c>
      <c r="C6" s="19">
        <f>LOOKUP(C3,Appointments!B8,Appointments!E8:E35)</f>
        <v>46055</v>
      </c>
      <c r="D6" s="5" t="str">
        <f>LOOKUP(D5,Appointments!B8,Appointments!C8:C37)</f>
        <v>Omar Farooq</v>
      </c>
      <c r="E6" s="5" t="str">
        <f>LOOKUP(E5,Appointments!B8,'Doctor Information'!C8:C27)</f>
        <v>D003</v>
      </c>
      <c r="F6" s="20">
        <f>LOOKUP(F3,'Doctor Information'!C8,'Doctor Information'!F8:F25)</f>
        <v>1500</v>
      </c>
      <c r="G6" s="20">
        <f t="shared" ref="G6:G11" si="1">SUM(F6)</f>
        <v>1500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2"/>
      <c r="B7" s="5" t="s">
        <v>66</v>
      </c>
      <c r="C7" s="19">
        <f>LOOKUP(C3,Appointments!B9,Appointments!E9:E35)</f>
        <v>46055</v>
      </c>
      <c r="D7" s="5" t="str">
        <f>LOOKUP(D6,Appointments!B9,Appointments!C9:C38)</f>
        <v>Hina Riaz</v>
      </c>
      <c r="E7" s="5" t="str">
        <f>LOOKUP(E6,Appointments!B9,'Doctor Information'!C9:C28)</f>
        <v>D004</v>
      </c>
      <c r="F7" s="20">
        <f>LOOKUP(F3,'Doctor Information'!C9,'Doctor Information'!F9:F25)</f>
        <v>2000</v>
      </c>
      <c r="G7" s="20">
        <f t="shared" si="1"/>
        <v>2000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2"/>
      <c r="B8" s="5" t="s">
        <v>68</v>
      </c>
      <c r="C8" s="19">
        <f>LOOKUP(C3,Appointments!B10,Appointments!E10:E35)</f>
        <v>46056</v>
      </c>
      <c r="D8" s="5" t="str">
        <f>LOOKUP(D7,Appointments!B10,Appointments!C10:C39)</f>
        <v>Ahmed Siddiq</v>
      </c>
      <c r="E8" s="5" t="str">
        <f>LOOKUP(E7,Appointments!B10,'Doctor Information'!C10:C29)</f>
        <v>D005</v>
      </c>
      <c r="F8" s="20">
        <f>LOOKUP(F3,'Doctor Information'!C10,'Doctor Information'!F10:F25)</f>
        <v>3000</v>
      </c>
      <c r="G8" s="20">
        <f t="shared" si="1"/>
        <v>3000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2"/>
      <c r="B9" s="5" t="s">
        <v>70</v>
      </c>
      <c r="C9" s="19">
        <f>LOOKUP(C3,Appointments!B11,Appointments!E11:E35)</f>
        <v>46056</v>
      </c>
      <c r="D9" s="5" t="str">
        <f>LOOKUP(D8,Appointments!B11,Appointments!C11:C40)</f>
        <v>Maria Khalid</v>
      </c>
      <c r="E9" s="5" t="str">
        <f>LOOKUP(E8,Appointments!B11,'Doctor Information'!C11:C30)</f>
        <v>D006</v>
      </c>
      <c r="F9" s="20">
        <f>LOOKUP(F3,'Doctor Information'!C11,'Doctor Information'!F11:F25)</f>
        <v>1600</v>
      </c>
      <c r="G9" s="20">
        <f t="shared" si="1"/>
        <v>1600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2"/>
      <c r="B10" s="5" t="s">
        <v>74</v>
      </c>
      <c r="C10" s="19">
        <f>LOOKUP(C3,Appointments!B14,Appointments!E14:E35)</f>
        <v>46058</v>
      </c>
      <c r="D10" s="5" t="str">
        <f>LOOKUP(D9,Appointments!B13,Appointments!C13:C41)</f>
        <v>Rabia Khan</v>
      </c>
      <c r="E10" s="5" t="str">
        <f>LOOKUP(E9,Appointments!B13,'Doctor Information'!C13:C31)</f>
        <v>D008</v>
      </c>
      <c r="F10" s="20">
        <f>LOOKUP(F3,'Doctor Information'!C13,'Doctor Information'!F13:F25)</f>
        <v>2100</v>
      </c>
      <c r="G10" s="20">
        <f t="shared" si="1"/>
        <v>2100</v>
      </c>
      <c r="H10" s="2"/>
      <c r="I10" s="2"/>
      <c r="J10" s="1"/>
      <c r="K10" s="2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2"/>
      <c r="B11" s="5" t="s">
        <v>76</v>
      </c>
      <c r="C11" s="19">
        <f>LOOKUP(C3,Appointments!B14,Appointments!E14:E35)</f>
        <v>46058</v>
      </c>
      <c r="D11" s="5" t="str">
        <f>LOOKUP(D10,Appointments!B14,Appointments!C14:C42)</f>
        <v>Imran Aslam</v>
      </c>
      <c r="E11" s="5" t="str">
        <f>LOOKUP(E10,Appointments!B14,'Doctor Information'!C14:C32)</f>
        <v>D009</v>
      </c>
      <c r="F11" s="20">
        <f>LOOKUP(F3,'Doctor Information'!C14,'Doctor Information'!F14:F25)</f>
        <v>2500</v>
      </c>
      <c r="G11" s="20">
        <f t="shared" si="1"/>
        <v>2500</v>
      </c>
      <c r="H11" s="2"/>
      <c r="I11" s="2"/>
      <c r="J11" s="1"/>
      <c r="K11" s="2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2"/>
      <c r="B12" s="5" t="s">
        <v>78</v>
      </c>
      <c r="C12" s="19">
        <f>LOOKUP(C3,Appointments!B15,Appointments!E15:E35)</f>
        <v>46058</v>
      </c>
      <c r="D12" s="5" t="str">
        <f>LOOKUP(D11,Appointments!B15,Appointments!C15:C43)</f>
        <v>Nadia Hussain</v>
      </c>
      <c r="E12" s="5" t="str">
        <f>LOOKUP(E11,Appointments!B15,'Doctor Information'!C15:C33)</f>
        <v>D010</v>
      </c>
      <c r="F12" s="20">
        <f>LOOKUP(F3,'Doctor Information'!C15,'Doctor Information'!F15:F25)</f>
        <v>1800</v>
      </c>
      <c r="G12" s="20">
        <f>SUM(,F12)</f>
        <v>1800</v>
      </c>
      <c r="H12" s="2"/>
      <c r="I12" s="2"/>
      <c r="J12" s="5" t="s">
        <v>102</v>
      </c>
      <c r="K12" s="5" t="s">
        <v>103</v>
      </c>
      <c r="L12" s="5" t="s">
        <v>104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2"/>
      <c r="B13" s="5" t="s">
        <v>80</v>
      </c>
      <c r="C13" s="19">
        <f>LOOKUP(C3,Appointments!B16,Appointments!E16:E35)</f>
        <v>46059</v>
      </c>
      <c r="D13" s="5" t="str">
        <f>LOOKUP(D12,Appointments!B16,Appointments!C16:C44)</f>
        <v>Bilal Farooq</v>
      </c>
      <c r="E13" s="5" t="str">
        <f>LOOKUP(E12,Appointments!B16,'Doctor Information'!C16:C34)</f>
        <v>D011</v>
      </c>
      <c r="F13" s="20">
        <f>LOOKUP(F3,'Doctor Information'!C16,'Doctor Information'!F16:F25)</f>
        <v>1500</v>
      </c>
      <c r="G13" s="20">
        <f t="shared" ref="G13:G20" si="2">SUM(F13)</f>
        <v>1500</v>
      </c>
      <c r="H13" s="2"/>
      <c r="I13" s="2"/>
      <c r="J13" s="22">
        <f>TODAY()</f>
        <v>46059</v>
      </c>
      <c r="K13" s="5">
        <f>COUNTIF(Billing!$D$4:$D$20,"&lt;&gt;")</f>
        <v>17</v>
      </c>
      <c r="L13" s="6">
        <f>SUM(Billing!$G$4:$G$20)</f>
        <v>34500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2"/>
      <c r="B14" s="5" t="s">
        <v>84</v>
      </c>
      <c r="C14" s="19">
        <f>LOOKUP(C3,Appointments!B18,Appointments!E18:E35)</f>
        <v>46060</v>
      </c>
      <c r="D14" s="5" t="str">
        <f>LOOKUP(D12,Appointments!B18,Appointments!C18:C44)</f>
        <v>Zain Ahmed</v>
      </c>
      <c r="E14" s="5" t="str">
        <f>LOOKUP(E13,Appointments!B18,'Doctor Information'!C18:C35)</f>
        <v>D013</v>
      </c>
      <c r="F14" s="20">
        <f>LOOKUP(F3,'Doctor Information'!C18,'Doctor Information'!F18:F25)</f>
        <v>3000</v>
      </c>
      <c r="G14" s="20">
        <f t="shared" si="2"/>
        <v>3000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2"/>
      <c r="B15" s="5" t="s">
        <v>86</v>
      </c>
      <c r="C15" s="19">
        <f>LOOKUP(C3,Appointments!B19,Appointments!E19:E35)</f>
        <v>46060</v>
      </c>
      <c r="D15" s="5" t="str">
        <f>LOOKUP(D13,Appointments!B19,Appointments!C19:C45)</f>
        <v>Samra Nadeem</v>
      </c>
      <c r="E15" s="5" t="str">
        <f>LOOKUP(E14,Appointments!B19,'Doctor Information'!C19:C36)</f>
        <v>D014</v>
      </c>
      <c r="F15" s="20">
        <f>LOOKUP(F3,'Doctor Information'!C19,'Doctor Information'!F19:F25)</f>
        <v>1600</v>
      </c>
      <c r="G15" s="20">
        <f t="shared" si="2"/>
        <v>1600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2"/>
      <c r="B16" s="5" t="s">
        <v>88</v>
      </c>
      <c r="C16" s="19">
        <f>LOOKUP(C3,Appointments!B20,Appointments!E20:E35)</f>
        <v>46061</v>
      </c>
      <c r="D16" s="5" t="str">
        <f>LOOKUP(D14,Appointments!B20,Appointments!C20:C46)</f>
        <v>Faisal Shah</v>
      </c>
      <c r="E16" s="5" t="str">
        <f>LOOKUP(E15,Appointments!B20,'Doctor Information'!C20:C37)</f>
        <v>D015</v>
      </c>
      <c r="F16" s="20">
        <f>LOOKUP(F3,'Doctor Information'!C20,'Doctor Information'!F20:F25)</f>
        <v>2200</v>
      </c>
      <c r="G16" s="20">
        <f t="shared" si="2"/>
        <v>2200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2"/>
      <c r="B17" s="5" t="s">
        <v>90</v>
      </c>
      <c r="C17" s="19">
        <f>LOOKUP(C3,Appointments!B21,Appointments!E21:E35)</f>
        <v>46061</v>
      </c>
      <c r="D17" s="5" t="str">
        <f>LOOKUP(D15,Appointments!B21,Appointments!C21:C47)</f>
        <v>Lubna Qureshi</v>
      </c>
      <c r="E17" s="5" t="str">
        <f>LOOKUP(E16,Appointments!B21,'Doctor Information'!C21:C38)</f>
        <v>D016</v>
      </c>
      <c r="F17" s="20">
        <f>LOOKUP(F3,'Doctor Information'!C21,'Doctor Information'!F21:F25)</f>
        <v>2100</v>
      </c>
      <c r="G17" s="20">
        <f t="shared" si="2"/>
        <v>2100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2"/>
      <c r="B18" s="5" t="s">
        <v>94</v>
      </c>
      <c r="C18" s="19">
        <f>LOOKUP(C3,Appointments!B23,Appointments!E23:E35)</f>
        <v>46062</v>
      </c>
      <c r="D18" s="5" t="str">
        <f>LOOKUP(D16,Appointments!B23,Appointments!C23:C48)</f>
        <v>Kiran Malik</v>
      </c>
      <c r="E18" s="5" t="str">
        <f>LOOKUP(E17,Appointments!B23,'Doctor Information'!C23:C39)</f>
        <v>D018</v>
      </c>
      <c r="F18" s="20">
        <f>LOOKUP(F3,'Doctor Information'!C23,'Doctor Information'!F23:F25)</f>
        <v>1800</v>
      </c>
      <c r="G18" s="20">
        <f t="shared" si="2"/>
        <v>1800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2"/>
      <c r="B19" s="5" t="s">
        <v>96</v>
      </c>
      <c r="C19" s="19">
        <f>LOOKUP(C3,Appointments!B24,Appointments!E24:E35)</f>
        <v>46063</v>
      </c>
      <c r="D19" s="5" t="str">
        <f>LOOKUP(D17,Appointments!B24,Appointments!C24:C49)</f>
        <v>Tariq Hussain</v>
      </c>
      <c r="E19" s="5" t="str">
        <f>LOOKUP(E18,Appointments!B24,'Doctor Information'!C24:C40)</f>
        <v>D019</v>
      </c>
      <c r="F19" s="20">
        <f>LOOKUP(F3,'Doctor Information'!C24,'Doctor Information'!F24:F25)</f>
        <v>1500</v>
      </c>
      <c r="G19" s="20">
        <f t="shared" si="2"/>
        <v>1500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2"/>
      <c r="B20" s="5" t="s">
        <v>98</v>
      </c>
      <c r="C20" s="19">
        <f>LOOKUP(C3,Appointments!B25,Appointments!E25:E35)</f>
        <v>46063</v>
      </c>
      <c r="D20" s="5" t="str">
        <f>LOOKUP(D18,Appointments!B25,Appointments!C25:C50)</f>
        <v>Sana Farooq</v>
      </c>
      <c r="E20" s="5" t="str">
        <f>LOOKUP(E19,Appointments!B25,'Doctor Information'!C25:C41)</f>
        <v>D020</v>
      </c>
      <c r="F20" s="20">
        <f>LOOKUP(F3,'Doctor Information'!C25,'Doctor Information'!F25)</f>
        <v>2000</v>
      </c>
      <c r="G20" s="20">
        <f t="shared" si="2"/>
        <v>2000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"/>
      <c r="C21" s="21"/>
      <c r="D21" s="1"/>
      <c r="E21" s="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"/>
      <c r="C22" s="21"/>
      <c r="D22" s="1"/>
      <c r="E22" s="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"/>
      <c r="C23" s="21"/>
      <c r="D23" s="1"/>
      <c r="E23" s="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"/>
      <c r="C24" s="2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3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"/>
      <c r="C27" s="21"/>
      <c r="D27" s="1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"/>
      <c r="C28" s="2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"/>
      <c r="C29" s="21"/>
      <c r="D29" s="1"/>
      <c r="E29" s="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"/>
      <c r="C30" s="21"/>
      <c r="D30" s="1"/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DropDown="1" sqref="J13 C4:C20">
      <formula1>OR(NOT(ISERROR(DATEVALUE(C4))), AND(ISNUMBER(C4), LEFT(CELL("format", C4))="D"))</formula1>
    </dataValidation>
    <dataValidation type="custom" allowBlank="1" showDropDown="1" sqref="F4:G20">
      <formula1>AND(ISNUMBER(F4),(NOT(OR(NOT(ISERROR(DATEVALUE(F4))), AND(ISNUMBER(F4), LEFT(CELL("format", F4))="D")))))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8.25"/>
    <col customWidth="1" min="4" max="4" width="17.25"/>
  </cols>
  <sheetData>
    <row r="4" ht="22.5" customHeight="1">
      <c r="B4" s="5" t="s">
        <v>2</v>
      </c>
      <c r="C4" s="5" t="s">
        <v>105</v>
      </c>
      <c r="D4" s="5" t="s">
        <v>106</v>
      </c>
    </row>
    <row r="5" ht="22.5" customHeight="1">
      <c r="B5" s="24" t="str">
        <f> LOOKUP(B4,Appointments!B6,Doctor_Information[Doctor Name]) </f>
        <v>Dr. Ahmed Khan</v>
      </c>
      <c r="C5" s="24">
        <f>COUNTIF('Doctor Information'!D6,B5)</f>
        <v>1</v>
      </c>
      <c r="D5" s="24">
        <f>SUMIF('Doctor Information'!D6,B5,Billing!G4)</f>
        <v>2500</v>
      </c>
    </row>
    <row r="6" ht="22.5" customHeight="1">
      <c r="B6" s="24" t="str">
        <f> LOOKUP(B4,Appointments!D7,'Doctor Information'!D7) </f>
        <v>Dr. Fatima Iqbal</v>
      </c>
      <c r="C6" s="24">
        <f>COUNTIF('Doctor Information'!D7,B6)</f>
        <v>1</v>
      </c>
      <c r="D6" s="24">
        <f>SUMIF('Doctor Information'!D7,B6,Billing!G5)</f>
        <v>1800</v>
      </c>
    </row>
    <row r="7" ht="22.5" customHeight="1">
      <c r="B7" s="24" t="str">
        <f>LOOKUP(B4,Appointments!D8,'Doctor Information'!D8)</f>
        <v>Dr. Ali Raza</v>
      </c>
      <c r="C7" s="24">
        <f>COUNTIF('Doctor Information'!D8,B7)</f>
        <v>1</v>
      </c>
      <c r="D7" s="24">
        <f>SUMIF('Doctor Information'!D8,B7,Billing!G6)</f>
        <v>1500</v>
      </c>
    </row>
    <row r="8" ht="22.5" customHeight="1">
      <c r="B8" s="24" t="str">
        <f>LOOKUP(B4,Appointments!D8,'Doctor Information'!D9)</f>
        <v>Dr. Sana Malik</v>
      </c>
      <c r="C8" s="24">
        <f>COUNTIF('Doctor Information'!D9,B8)</f>
        <v>1</v>
      </c>
      <c r="D8" s="24">
        <f>SUMIF('Doctor Information'!D9,B8,Billing!G7)</f>
        <v>2000</v>
      </c>
    </row>
    <row r="9" ht="22.5" customHeight="1">
      <c r="B9" s="24" t="str">
        <f>LOOKUP(B4,Appointments!B9,'Doctor Information'!D10)</f>
        <v>Dr. Usman Shah</v>
      </c>
      <c r="C9" s="24">
        <f>COUNTIF('Doctor Information'!D10,B9)</f>
        <v>1</v>
      </c>
      <c r="D9" s="24">
        <f>SUMIF('Doctor Information'!D10,B9,Billing!G8)</f>
        <v>3000</v>
      </c>
    </row>
    <row r="10" ht="22.5" customHeight="1">
      <c r="B10" s="24" t="str">
        <f> LOOKUP(B4,Appointments!B11,'Doctor Information'!D11) </f>
        <v>Dr. Ayesha Siddiq</v>
      </c>
      <c r="C10" s="24">
        <f>COUNTIF('Doctor Information'!D11,B10)</f>
        <v>1</v>
      </c>
      <c r="D10" s="24">
        <f>SUMIF('Doctor Information'!D11,B10,Billing!G9)</f>
        <v>1600</v>
      </c>
    </row>
    <row r="11" ht="22.5" customHeight="1">
      <c r="B11" s="24" t="str">
        <f>LOOKUP(B4,Appointments!B13,'Doctor Information'!D13)</f>
        <v>Dr. Maria Qureshi</v>
      </c>
      <c r="C11" s="24">
        <f>COUNTIF('Doctor Information'!D13,B11)</f>
        <v>1</v>
      </c>
      <c r="D11" s="24">
        <f>SUMIF('Doctor Information'!D13,B11,Billing!G10)</f>
        <v>2100</v>
      </c>
    </row>
    <row r="12" ht="22.5" customHeight="1">
      <c r="B12" s="24" t="str">
        <f>LOOKUP(B4,Appointments!B14,'Doctor Information'!D14)</f>
        <v>Dr. Imran Aslam</v>
      </c>
      <c r="C12" s="24">
        <f>COUNTIF('Doctor Information'!D14,B12)</f>
        <v>1</v>
      </c>
      <c r="D12" s="24">
        <f>SUMIF('Doctor Information'!D14,B12,Billing!G11)</f>
        <v>2500</v>
      </c>
    </row>
    <row r="13" ht="22.5" customHeight="1">
      <c r="B13" s="24" t="str">
        <f>LOOKUP(B4,Appointments!B15,'Doctor Information'!D15)</f>
        <v>Dr. Hina Javed</v>
      </c>
      <c r="C13" s="24">
        <f>COUNTIF('Doctor Information'!D15,B13)</f>
        <v>1</v>
      </c>
      <c r="D13" s="24">
        <f>SUMIF('Doctor Information'!D15,B13,Billing!G12)</f>
        <v>1800</v>
      </c>
    </row>
    <row r="14" ht="22.5" customHeight="1">
      <c r="B14" s="24" t="str">
        <f>LOOKUP(B4,Appointments!B16,'Doctor Information'!D16)</f>
        <v>Dr. Bilal Farooq</v>
      </c>
      <c r="C14" s="24">
        <f>COUNTIF('Doctor Information'!D16,B14)</f>
        <v>1</v>
      </c>
      <c r="D14" s="24">
        <f>SUMIF('Doctor Information'!D16,B14,Billing!G13)</f>
        <v>1500</v>
      </c>
    </row>
    <row r="15" ht="22.5" customHeight="1">
      <c r="B15" s="24" t="str">
        <f>LOOKUP(B4,Appointments!B18,'Doctor Information'!D18)</f>
        <v>Dr. Zain Ahmed</v>
      </c>
      <c r="C15" s="24">
        <f>COUNTIF('Doctor Information'!D18,B15)</f>
        <v>1</v>
      </c>
      <c r="D15" s="24">
        <f>SUMIF('Doctor Information'!D18,B15,Billing!G14)</f>
        <v>3000</v>
      </c>
    </row>
    <row r="16" ht="22.5" customHeight="1">
      <c r="B16" s="24" t="str">
        <f>LOOKUP(B4,Appointments!B19,'Doctor Information'!D19)</f>
        <v>Dr. Nadia Hussain</v>
      </c>
      <c r="C16" s="24">
        <f>COUNTIF('Doctor Information'!D19,B16)</f>
        <v>1</v>
      </c>
      <c r="D16" s="24">
        <f>SUMIF('Doctor Information'!D19,B16,Billing!G15)</f>
        <v>1600</v>
      </c>
    </row>
    <row r="17" ht="22.5" customHeight="1">
      <c r="B17" s="24" t="str">
        <f>LOOKUP(B4,Appointments!B20,'Doctor Information'!D20)</f>
        <v>Dr. Saad Iqbal</v>
      </c>
      <c r="C17" s="24">
        <f>COUNTIF('Doctor Information'!D20,B17)</f>
        <v>1</v>
      </c>
      <c r="D17" s="24">
        <f>SUMIF('Doctor Information'!D20,B17,Billing!G16)</f>
        <v>2200</v>
      </c>
    </row>
    <row r="18" ht="22.5" customHeight="1">
      <c r="B18" s="24" t="str">
        <f>LOOKUP(B4,Appointments!B21,'Doctor Information'!D21)</f>
        <v>Dr. Rabia Khan</v>
      </c>
      <c r="C18" s="24">
        <f>COUNTIF('Doctor Information'!D21,B18)</f>
        <v>1</v>
      </c>
      <c r="D18" s="24">
        <f>SUMIF('Doctor Information'!D21,B18,Billing!G17)</f>
        <v>2100</v>
      </c>
    </row>
    <row r="19" ht="22.5" customHeight="1">
      <c r="B19" s="24" t="str">
        <f>LOOKUP(B4,Appointments!B23,'Doctor Information'!D23)</f>
        <v>Dr. Kiran Malik</v>
      </c>
      <c r="C19" s="24">
        <f>COUNTIF('Doctor Information'!D23,B19)</f>
        <v>1</v>
      </c>
      <c r="D19" s="24">
        <f>SUMIF('Doctor Information'!D23,B19,Billing!G18)</f>
        <v>1800</v>
      </c>
    </row>
    <row r="20" ht="22.5" customHeight="1">
      <c r="B20" s="24" t="str">
        <f>LOOKUP(B4,Appointments!B24,'Doctor Information'!D24)</f>
        <v>Dr. Asad Rafiq</v>
      </c>
      <c r="C20" s="24">
        <f>COUNTIF('Doctor Information'!D24,B20)</f>
        <v>1</v>
      </c>
      <c r="D20" s="24">
        <f>SUMIF('Doctor Information'!D24,B20,Billing!G19)</f>
        <v>1500</v>
      </c>
    </row>
    <row r="21" ht="22.5" customHeight="1">
      <c r="B21" s="24" t="str">
        <f>LOOKUP(B4,Appointments!B25,'Doctor Information'!D25)</f>
        <v>Dr. Saba Tariq</v>
      </c>
      <c r="C21" s="24">
        <f>COUNTIF('Doctor Information'!D25,B21)</f>
        <v>1</v>
      </c>
      <c r="D21" s="24">
        <f>SUMIF('Doctor Information'!D25,B21,Billing!G20)</f>
        <v>2000</v>
      </c>
    </row>
    <row r="22" ht="22.5" customHeight="1">
      <c r="B22" s="24" t="str">
        <f>LOOKUP(B4,Appointments!B12,'Doctor Information'!D12)</f>
        <v>Dr. Hassan Tariq</v>
      </c>
      <c r="C22" s="24">
        <f>COUNTIF('Doctor Information'!D12,B22)</f>
        <v>1</v>
      </c>
      <c r="D22" s="24">
        <f>SUMIF('Doctor Information'!C12,B22,Appointments!I17)</f>
        <v>0</v>
      </c>
    </row>
    <row r="23" ht="22.5" customHeight="1">
      <c r="B23" s="24" t="str">
        <f>LOOKUP(B4,Appointments!B17,'Doctor Information'!D17)</f>
        <v>Dr. Samina Riaz</v>
      </c>
      <c r="C23" s="24">
        <f>COUNTIF('Doctor Information'!D17,B23)</f>
        <v>1</v>
      </c>
      <c r="D23" s="24">
        <f>SUMIF('Doctor Information'!C13,B23,Appointments!I18)</f>
        <v>0</v>
      </c>
    </row>
    <row r="24" ht="22.5" customHeight="1">
      <c r="B24" s="24" t="str">
        <f>LOOKUP(B4,Appointments!B22,'Doctor Information'!D22)</f>
        <v>Dr. Waseem Akhtar</v>
      </c>
      <c r="C24" s="24">
        <f>COUNTIF('Doctor Information'!D22,B24)</f>
        <v>1</v>
      </c>
      <c r="D24" s="24">
        <f>SUMIF('Doctor Information'!C14,B24,Appointments!I19)</f>
        <v>0</v>
      </c>
    </row>
  </sheetData>
  <drawing r:id="rId1"/>
  <tableParts count="1">
    <tablePart r:id="rId3"/>
  </tableParts>
</worksheet>
</file>